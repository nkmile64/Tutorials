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mil\Desktop\"/>
    </mc:Choice>
  </mc:AlternateContent>
  <xr:revisionPtr revIDLastSave="0" documentId="13_ncr:1_{ACC9C94D-9F60-4A33-A9BA-71C5F9473194}" xr6:coauthVersionLast="47" xr6:coauthVersionMax="47" xr10:uidLastSave="{00000000-0000-0000-0000-000000000000}"/>
  <bookViews>
    <workbookView xWindow="-108" yWindow="-108" windowWidth="23256" windowHeight="13176" xr2:uid="{F45AC2E2-1F8C-4CC9-A8E4-0B2E93899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H7" i="1"/>
  <c r="H3" i="1"/>
  <c r="H4" i="1"/>
  <c r="H5" i="1"/>
  <c r="H6" i="1"/>
  <c r="H2" i="1"/>
  <c r="E3" i="1"/>
  <c r="E4" i="1"/>
  <c r="E5" i="1"/>
  <c r="E6" i="1"/>
  <c r="E2" i="1"/>
  <c r="C4" i="1"/>
  <c r="C5" i="1" s="1"/>
  <c r="C6" i="1" s="1"/>
  <c r="C3" i="1"/>
  <c r="C2" i="1"/>
  <c r="D2" i="1"/>
  <c r="D3" i="1" s="1"/>
  <c r="D4" i="1" l="1"/>
  <c r="F3" i="1"/>
  <c r="F2" i="1"/>
  <c r="G2" i="1" l="1"/>
  <c r="I2" i="1"/>
  <c r="I3" i="1"/>
  <c r="G3" i="1"/>
  <c r="D5" i="1"/>
  <c r="F4" i="1"/>
  <c r="I4" i="1" l="1"/>
  <c r="G4" i="1"/>
  <c r="D6" i="1"/>
  <c r="F6" i="1" s="1"/>
  <c r="F5" i="1"/>
  <c r="G5" i="1" l="1"/>
  <c r="I5" i="1"/>
  <c r="G6" i="1"/>
  <c r="I6" i="1"/>
  <c r="G7" i="1" l="1"/>
  <c r="D11" i="1" s="1"/>
  <c r="I7" i="1"/>
</calcChain>
</file>

<file path=xl/sharedStrings.xml><?xml version="1.0" encoding="utf-8"?>
<sst xmlns="http://schemas.openxmlformats.org/spreadsheetml/2006/main" count="11" uniqueCount="11">
  <si>
    <t>x</t>
  </si>
  <si>
    <t>y</t>
  </si>
  <si>
    <t>x_bar</t>
  </si>
  <si>
    <t>y_bar</t>
  </si>
  <si>
    <t>x_i - x_bar</t>
  </si>
  <si>
    <t>y_i - y_bar</t>
  </si>
  <si>
    <t>(x_i - x_bar)(y_i - y_bar)</t>
  </si>
  <si>
    <t>(x_i - x_bar)^2</t>
  </si>
  <si>
    <t>(y_i - y_bar)^2</t>
  </si>
  <si>
    <t>Correlation Coefficient</t>
  </si>
  <si>
    <t>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</si>
</sst>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 applyAlignment="1">
      <alignment horizontal="center"/>
    </xf>
    <xf numFmtId="43" fontId="0" fillId="0" borderId="0" xfId="1" applyFont="1"/>
    <xf numFmtId="43" fontId="2" fillId="0" borderId="0" xfId="1" applyFont="1" applyAlignment="1">
      <alignment horizontal="center"/>
    </xf>
    <xf numFmtId="43" fontId="0" fillId="0" borderId="0" xfId="1" applyFont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0C5D2B-6785-492A-8EB5-4D305D07B72E}">
  <dimension ref="A1:J23"/>
  <sheetViews>
    <sheetView tabSelected="1" zoomScale="120" zoomScaleNormal="120" workbookViewId="0">
      <selection activeCell="G8" sqref="G8"/>
    </sheetView>
  </sheetViews>
  <sheetFormatPr defaultRowHeight="14.4" x14ac:dyDescent="0.3"/>
  <cols>
    <col min="1" max="2" width="8.88671875" style="1"/>
    <col min="5" max="6" width="11.21875" style="1" bestFit="1" customWidth="1"/>
    <col min="7" max="7" width="25" style="1" bestFit="1" customWidth="1"/>
    <col min="8" max="8" width="16.6640625" style="1" customWidth="1"/>
    <col min="9" max="9" width="15.5546875" style="1" bestFit="1" customWidth="1"/>
    <col min="10" max="16384" width="8.88671875" style="1"/>
  </cols>
  <sheetData>
    <row r="1" spans="1:10" s="2" customFormat="1" ht="18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0" x14ac:dyDescent="0.3">
      <c r="A2" s="3">
        <v>1</v>
      </c>
      <c r="B2" s="3">
        <v>2</v>
      </c>
      <c r="C2" s="3">
        <f>AVERAGE($A2:$A6)</f>
        <v>3</v>
      </c>
      <c r="D2" s="3">
        <f>AVERAGE(B2:B6)</f>
        <v>3.2</v>
      </c>
      <c r="E2" s="3">
        <f>A2-C2</f>
        <v>-2</v>
      </c>
      <c r="F2" s="3">
        <f>B2-D2</f>
        <v>-1.2000000000000002</v>
      </c>
      <c r="G2" s="3">
        <f>E2*F2</f>
        <v>2.4000000000000004</v>
      </c>
      <c r="H2" s="3">
        <f>E2*E2</f>
        <v>4</v>
      </c>
      <c r="I2" s="3">
        <f>F2*F2</f>
        <v>1.4400000000000004</v>
      </c>
      <c r="J2" s="3"/>
    </row>
    <row r="3" spans="1:10" x14ac:dyDescent="0.3">
      <c r="A3" s="3">
        <v>2</v>
      </c>
      <c r="B3" s="3">
        <v>3</v>
      </c>
      <c r="C3" s="3">
        <f>C2</f>
        <v>3</v>
      </c>
      <c r="D3" s="3">
        <f t="shared" ref="D3:D6" si="0">D2</f>
        <v>3.2</v>
      </c>
      <c r="E3" s="3">
        <f t="shared" ref="E3:E6" si="1">A3-C3</f>
        <v>-1</v>
      </c>
      <c r="F3" s="3">
        <f t="shared" ref="F3:F6" si="2">B3-D3</f>
        <v>-0.20000000000000018</v>
      </c>
      <c r="G3" s="3">
        <f t="shared" ref="G3:G6" si="3">E3*F3</f>
        <v>0.20000000000000018</v>
      </c>
      <c r="H3" s="3">
        <f t="shared" ref="H3:H6" si="4">E3*E3</f>
        <v>1</v>
      </c>
      <c r="I3" s="3">
        <f t="shared" ref="I3:I6" si="5">F3*F3</f>
        <v>4.000000000000007E-2</v>
      </c>
      <c r="J3" s="3"/>
    </row>
    <row r="4" spans="1:10" x14ac:dyDescent="0.3">
      <c r="A4" s="3">
        <v>3</v>
      </c>
      <c r="B4" s="3">
        <v>2</v>
      </c>
      <c r="C4" s="3">
        <f t="shared" ref="C4:C6" si="6">C3</f>
        <v>3</v>
      </c>
      <c r="D4" s="3">
        <f t="shared" si="0"/>
        <v>3.2</v>
      </c>
      <c r="E4" s="3">
        <f t="shared" si="1"/>
        <v>0</v>
      </c>
      <c r="F4" s="3">
        <f t="shared" si="2"/>
        <v>-1.2000000000000002</v>
      </c>
      <c r="G4" s="3">
        <f t="shared" si="3"/>
        <v>0</v>
      </c>
      <c r="H4" s="3">
        <f t="shared" si="4"/>
        <v>0</v>
      </c>
      <c r="I4" s="3">
        <f t="shared" si="5"/>
        <v>1.4400000000000004</v>
      </c>
      <c r="J4" s="3"/>
    </row>
    <row r="5" spans="1:10" x14ac:dyDescent="0.3">
      <c r="A5" s="3">
        <v>4</v>
      </c>
      <c r="B5" s="3">
        <v>5</v>
      </c>
      <c r="C5" s="3">
        <f t="shared" si="6"/>
        <v>3</v>
      </c>
      <c r="D5" s="3">
        <f t="shared" si="0"/>
        <v>3.2</v>
      </c>
      <c r="E5" s="3">
        <f t="shared" si="1"/>
        <v>1</v>
      </c>
      <c r="F5" s="3">
        <f t="shared" si="2"/>
        <v>1.7999999999999998</v>
      </c>
      <c r="G5" s="3">
        <f t="shared" si="3"/>
        <v>1.7999999999999998</v>
      </c>
      <c r="H5" s="3">
        <f t="shared" si="4"/>
        <v>1</v>
      </c>
      <c r="I5" s="3">
        <f t="shared" si="5"/>
        <v>3.2399999999999993</v>
      </c>
      <c r="J5" s="3"/>
    </row>
    <row r="6" spans="1:10" x14ac:dyDescent="0.3">
      <c r="A6" s="3">
        <v>5</v>
      </c>
      <c r="B6" s="3">
        <v>4</v>
      </c>
      <c r="C6" s="3">
        <f t="shared" si="6"/>
        <v>3</v>
      </c>
      <c r="D6" s="3">
        <f t="shared" si="0"/>
        <v>3.2</v>
      </c>
      <c r="E6" s="3">
        <f t="shared" si="1"/>
        <v>2</v>
      </c>
      <c r="F6" s="3">
        <f t="shared" si="2"/>
        <v>0.79999999999999982</v>
      </c>
      <c r="G6" s="3">
        <f t="shared" si="3"/>
        <v>1.5999999999999996</v>
      </c>
      <c r="H6" s="3">
        <f t="shared" si="4"/>
        <v>4</v>
      </c>
      <c r="I6" s="3">
        <f t="shared" si="5"/>
        <v>0.63999999999999968</v>
      </c>
      <c r="J6" s="3"/>
    </row>
    <row r="7" spans="1:10" x14ac:dyDescent="0.3">
      <c r="A7" s="3"/>
      <c r="B7" s="3"/>
      <c r="C7" s="4"/>
      <c r="D7" s="4"/>
      <c r="E7" s="3"/>
      <c r="F7" s="3"/>
      <c r="G7" s="5">
        <f>SUM(G2:G6)</f>
        <v>6</v>
      </c>
      <c r="H7" s="5">
        <f>SUM(H2:H6)</f>
        <v>10</v>
      </c>
      <c r="I7" s="5">
        <f>SUM(I2:I6)</f>
        <v>6.8</v>
      </c>
      <c r="J7" s="3"/>
    </row>
    <row r="8" spans="1:10" x14ac:dyDescent="0.3">
      <c r="A8" s="3"/>
      <c r="B8" s="3"/>
      <c r="C8" s="4"/>
      <c r="D8" s="4"/>
      <c r="E8" s="3"/>
      <c r="F8" s="3"/>
      <c r="G8" s="3"/>
      <c r="H8" s="3"/>
      <c r="I8" s="3"/>
      <c r="J8" s="3"/>
    </row>
    <row r="9" spans="1:10" x14ac:dyDescent="0.3">
      <c r="A9" s="3"/>
      <c r="B9" s="3"/>
      <c r="C9" s="4"/>
      <c r="D9" s="4"/>
      <c r="E9" s="3"/>
      <c r="F9" s="3"/>
      <c r="G9" s="3"/>
      <c r="H9" s="3"/>
      <c r="I9" s="3"/>
      <c r="J9" s="3"/>
    </row>
    <row r="10" spans="1:10" x14ac:dyDescent="0.3">
      <c r="A10" s="3"/>
      <c r="B10" s="3"/>
      <c r="C10" s="4"/>
      <c r="D10" s="4"/>
      <c r="E10" s="3"/>
      <c r="F10" s="3"/>
      <c r="G10" s="3"/>
      <c r="H10" s="3"/>
      <c r="I10" s="3"/>
      <c r="J10" s="3"/>
    </row>
    <row r="11" spans="1:10" x14ac:dyDescent="0.3">
      <c r="A11" s="6" t="s">
        <v>9</v>
      </c>
      <c r="B11" s="3"/>
      <c r="C11" s="4"/>
      <c r="D11" s="4">
        <f>G7/SQRT(H7*I7)</f>
        <v>0.72760687510899891</v>
      </c>
      <c r="E11" s="3" t="s">
        <v>10</v>
      </c>
      <c r="F11" s="3">
        <f>CORREL(A2:A6,B2:B6)</f>
        <v>0.72760687510899902</v>
      </c>
      <c r="G11" s="3"/>
      <c r="H11" s="3"/>
      <c r="I11" s="3"/>
      <c r="J11" s="3"/>
    </row>
    <row r="12" spans="1:10" x14ac:dyDescent="0.3">
      <c r="A12" s="3"/>
      <c r="B12" s="3"/>
      <c r="C12" s="4"/>
      <c r="D12" s="4"/>
      <c r="E12" s="3"/>
      <c r="F12" s="3"/>
      <c r="G12" s="3"/>
      <c r="H12" s="3"/>
      <c r="I12" s="3"/>
      <c r="J12" s="3"/>
    </row>
    <row r="13" spans="1:10" x14ac:dyDescent="0.3">
      <c r="A13" s="3"/>
      <c r="B13" s="3"/>
      <c r="C13" s="4"/>
      <c r="D13" s="4"/>
      <c r="E13" s="3"/>
      <c r="F13" s="3"/>
      <c r="G13" s="3"/>
      <c r="H13" s="3"/>
      <c r="I13" s="3"/>
      <c r="J13" s="3"/>
    </row>
    <row r="14" spans="1:10" x14ac:dyDescent="0.3">
      <c r="A14" s="3"/>
      <c r="B14" s="3"/>
      <c r="C14" s="4"/>
      <c r="D14" s="4"/>
      <c r="E14" s="3"/>
      <c r="F14" s="3"/>
      <c r="G14" s="3"/>
      <c r="H14" s="3"/>
      <c r="I14" s="3"/>
      <c r="J14" s="3"/>
    </row>
    <row r="15" spans="1:10" x14ac:dyDescent="0.3">
      <c r="A15" s="3"/>
      <c r="B15" s="3"/>
      <c r="C15" s="4"/>
      <c r="D15" s="4"/>
      <c r="E15" s="3"/>
      <c r="F15" s="3"/>
      <c r="G15" s="3"/>
      <c r="H15" s="3"/>
      <c r="I15" s="3"/>
      <c r="J15" s="3"/>
    </row>
    <row r="16" spans="1:10" x14ac:dyDescent="0.3">
      <c r="A16" s="3"/>
      <c r="B16" s="3"/>
      <c r="C16" s="4"/>
      <c r="D16" s="4"/>
      <c r="E16" s="3"/>
      <c r="F16" s="3"/>
      <c r="G16" s="3"/>
      <c r="H16" s="3"/>
      <c r="I16" s="3"/>
      <c r="J16" s="3"/>
    </row>
    <row r="17" spans="1:10" x14ac:dyDescent="0.3">
      <c r="A17" s="3"/>
      <c r="B17" s="3"/>
      <c r="C17" s="4"/>
      <c r="D17" s="4"/>
      <c r="E17" s="3"/>
      <c r="F17" s="3"/>
      <c r="G17" s="3"/>
      <c r="H17" s="3"/>
      <c r="I17" s="3"/>
      <c r="J17" s="3"/>
    </row>
    <row r="18" spans="1:10" x14ac:dyDescent="0.3">
      <c r="A18" s="3"/>
      <c r="B18" s="3"/>
      <c r="C18" s="4"/>
      <c r="D18" s="4"/>
      <c r="E18" s="3"/>
      <c r="F18" s="3"/>
      <c r="G18" s="3"/>
      <c r="H18" s="3"/>
      <c r="I18" s="3"/>
      <c r="J18" s="3"/>
    </row>
    <row r="19" spans="1:10" x14ac:dyDescent="0.3">
      <c r="A19" s="3"/>
      <c r="B19" s="3"/>
      <c r="C19" s="4"/>
      <c r="D19" s="4"/>
      <c r="E19" s="3"/>
      <c r="F19" s="3"/>
      <c r="G19" s="3"/>
      <c r="H19" s="3"/>
      <c r="I19" s="3"/>
      <c r="J19" s="3"/>
    </row>
    <row r="20" spans="1:10" x14ac:dyDescent="0.3">
      <c r="A20" s="3"/>
      <c r="B20" s="3"/>
      <c r="C20" s="4"/>
      <c r="D20" s="4"/>
      <c r="E20" s="3"/>
      <c r="F20" s="3"/>
      <c r="G20" s="3"/>
      <c r="H20" s="3"/>
      <c r="I20" s="3"/>
      <c r="J20" s="3"/>
    </row>
    <row r="21" spans="1:10" x14ac:dyDescent="0.3">
      <c r="A21" s="3"/>
      <c r="B21" s="3"/>
      <c r="C21" s="4"/>
      <c r="D21" s="4"/>
      <c r="E21" s="3"/>
      <c r="F21" s="3"/>
      <c r="G21" s="3"/>
      <c r="H21" s="3"/>
      <c r="I21" s="3"/>
      <c r="J21" s="3"/>
    </row>
    <row r="22" spans="1:10" x14ac:dyDescent="0.3">
      <c r="A22" s="3"/>
      <c r="B22" s="3"/>
      <c r="C22" s="4"/>
      <c r="D22" s="4"/>
      <c r="E22" s="3"/>
      <c r="F22" s="3"/>
      <c r="G22" s="3"/>
      <c r="H22" s="3"/>
      <c r="I22" s="3"/>
      <c r="J22" s="3"/>
    </row>
    <row r="23" spans="1:10" x14ac:dyDescent="0.3">
      <c r="A23" s="3"/>
      <c r="B23" s="3"/>
      <c r="C23" s="4"/>
      <c r="D23" s="4"/>
      <c r="E23" s="3"/>
      <c r="F23" s="3"/>
      <c r="G23" s="3"/>
      <c r="H23" s="3"/>
      <c r="I23" s="3"/>
      <c r="J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Nikos Mileounis</dc:creator>
  <cp:lastModifiedBy>Nikos Mileounis</cp:lastModifiedBy>
  <dcterms:created xsi:type="dcterms:W3CDTF">2026-03-16T19:55:59Z</dcterms:created>
  <dcterms:modified xsi:type="dcterms:W3CDTF">2026-03-18T15:52:01Z</dcterms:modified>
</cp:coreProperties>
</file>